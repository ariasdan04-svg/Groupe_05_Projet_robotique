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elvoux3\Downloads\"/>
    </mc:Choice>
  </mc:AlternateContent>
  <xr:revisionPtr revIDLastSave="0" documentId="13_ncr:1_{B8B50DAC-26D4-4E53-8172-439C65B2211F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Feuil1" sheetId="1" r:id="rId1"/>
    <sheet name="Graphique1" sheetId="3" r:id="rId2"/>
    <sheet name="Feuil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5" i="2" l="1" a="1"/>
  <c r="M55" i="2" s="1"/>
  <c r="N43" i="2" a="1"/>
  <c r="N43" i="2" s="1"/>
  <c r="E54" i="2" a="1"/>
  <c r="E54" i="2" s="1"/>
  <c r="E43" i="2" a="1"/>
  <c r="E43" i="2" s="1"/>
  <c r="E33" i="2" a="1"/>
  <c r="E33" i="2" s="1"/>
  <c r="K21" i="2"/>
  <c r="G28" i="2"/>
  <c r="J28" i="2" s="1"/>
  <c r="G29" i="2"/>
  <c r="G27" i="2"/>
  <c r="H27" i="2" s="1"/>
  <c r="G26" i="2"/>
  <c r="G25" i="2"/>
  <c r="G24" i="2"/>
  <c r="G23" i="2"/>
  <c r="G22" i="2"/>
  <c r="G21" i="2"/>
  <c r="J21" i="2" s="1"/>
  <c r="F29" i="2"/>
  <c r="F28" i="2"/>
  <c r="F27" i="2"/>
  <c r="F26" i="2"/>
  <c r="I26" i="2" s="1"/>
  <c r="F25" i="2"/>
  <c r="I25" i="2" s="1"/>
  <c r="F24" i="2"/>
  <c r="I24" i="2" s="1"/>
  <c r="F23" i="2"/>
  <c r="F22" i="2"/>
  <c r="I22" i="2" s="1"/>
  <c r="F21" i="2"/>
  <c r="S7" i="2"/>
  <c r="J22" i="2"/>
  <c r="J23" i="2"/>
  <c r="J24" i="2"/>
  <c r="J25" i="2"/>
  <c r="J26" i="2"/>
  <c r="J27" i="2"/>
  <c r="J29" i="2"/>
  <c r="I23" i="2"/>
  <c r="I27" i="2"/>
  <c r="I28" i="2"/>
  <c r="I29" i="2"/>
  <c r="I21" i="2"/>
  <c r="H29" i="2"/>
  <c r="H25" i="2"/>
  <c r="K29" i="2"/>
  <c r="K28" i="2"/>
  <c r="K27" i="2"/>
  <c r="K26" i="2"/>
  <c r="K25" i="2"/>
  <c r="K24" i="2"/>
  <c r="K23" i="2"/>
  <c r="K22" i="2"/>
  <c r="AB7" i="2"/>
  <c r="Y7" i="2"/>
  <c r="V7" i="2"/>
  <c r="P7" i="2"/>
  <c r="M7" i="2"/>
  <c r="J7" i="2"/>
  <c r="G7" i="2" s="1"/>
  <c r="D14" i="1"/>
  <c r="C14" i="1"/>
  <c r="D13" i="1"/>
  <c r="C13" i="1"/>
  <c r="W15" i="1"/>
  <c r="V15" i="1"/>
  <c r="W14" i="1"/>
  <c r="V14" i="1"/>
  <c r="U49" i="1" a="1"/>
  <c r="U49" i="1" s="1"/>
  <c r="W45" i="1"/>
  <c r="V45" i="1"/>
  <c r="U45" i="1"/>
  <c r="V44" i="1"/>
  <c r="U44" i="1"/>
  <c r="V43" i="1"/>
  <c r="U43" i="1"/>
  <c r="W42" i="1"/>
  <c r="V42" i="1"/>
  <c r="U42" i="1"/>
  <c r="X34" i="1"/>
  <c r="W34" i="1"/>
  <c r="V34" i="1"/>
  <c r="U34" i="1"/>
  <c r="X44" i="1" s="1"/>
  <c r="Y26" i="1"/>
  <c r="X26" i="1"/>
  <c r="W26" i="1"/>
  <c r="Y25" i="1"/>
  <c r="X25" i="1"/>
  <c r="Y24" i="1"/>
  <c r="X24" i="1"/>
  <c r="W24" i="1"/>
  <c r="W43" i="1" s="1"/>
  <c r="Y23" i="1"/>
  <c r="X23" i="1"/>
  <c r="X43" i="1" s="1"/>
  <c r="D32" i="1"/>
  <c r="C32" i="1"/>
  <c r="E32" i="1"/>
  <c r="F24" i="1"/>
  <c r="F23" i="1"/>
  <c r="F21" i="1"/>
  <c r="F22" i="1"/>
  <c r="I31" i="1" s="1"/>
  <c r="E24" i="1"/>
  <c r="E41" i="1" s="1"/>
  <c r="E23" i="1"/>
  <c r="E22" i="1"/>
  <c r="E21" i="1"/>
  <c r="B32" i="1"/>
  <c r="D24" i="1"/>
  <c r="D22" i="1"/>
  <c r="B40" i="1"/>
  <c r="B41" i="1"/>
  <c r="C43" i="1"/>
  <c r="B43" i="1"/>
  <c r="C41" i="1"/>
  <c r="C40" i="1"/>
  <c r="H24" i="2" l="1"/>
  <c r="H22" i="2"/>
  <c r="H21" i="2"/>
  <c r="H28" i="2"/>
  <c r="H26" i="2"/>
  <c r="H23" i="2"/>
  <c r="AB34" i="1"/>
  <c r="AB32" i="1"/>
  <c r="AA51" i="1" s="1"/>
  <c r="AB33" i="1"/>
  <c r="AB35" i="1"/>
  <c r="W44" i="1"/>
  <c r="X45" i="1"/>
  <c r="X42" i="1"/>
  <c r="I30" i="1"/>
  <c r="I33" i="1"/>
  <c r="E40" i="1"/>
  <c r="E43" i="1"/>
  <c r="E42" i="1"/>
  <c r="I32" i="1"/>
  <c r="D42" i="1"/>
  <c r="C42" i="1"/>
  <c r="B42" i="1"/>
  <c r="D40" i="1"/>
  <c r="D41" i="1"/>
  <c r="D43" i="1"/>
  <c r="AA52" i="1" l="1"/>
  <c r="AA49" i="1"/>
  <c r="AA50" i="1"/>
  <c r="B47" i="1" a="1"/>
  <c r="B47" i="1" s="1"/>
  <c r="H47" i="1" s="1"/>
  <c r="H48" i="1" l="1"/>
  <c r="H50" i="1"/>
  <c r="H49" i="1"/>
  <c r="A1" i="1"/>
  <c r="A1" i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<sst xmlns="http://schemas.openxmlformats.org/spreadsheetml/2006/main" count="122" uniqueCount="48">
  <si>
    <t>y</t>
  </si>
  <si>
    <t>essai</t>
  </si>
  <si>
    <t xml:space="preserve">X1 </t>
  </si>
  <si>
    <t>X2</t>
  </si>
  <si>
    <t>X3</t>
  </si>
  <si>
    <t>1er fac</t>
  </si>
  <si>
    <t>paramètre</t>
  </si>
  <si>
    <t>2ème fac</t>
  </si>
  <si>
    <t>x1</t>
  </si>
  <si>
    <t>a1</t>
  </si>
  <si>
    <t>x2</t>
  </si>
  <si>
    <t>a2</t>
  </si>
  <si>
    <t>a12</t>
  </si>
  <si>
    <t>x1x2</t>
  </si>
  <si>
    <t>y1</t>
  </si>
  <si>
    <t>y2</t>
  </si>
  <si>
    <t>y3</t>
  </si>
  <si>
    <t>y4</t>
  </si>
  <si>
    <t>a0</t>
  </si>
  <si>
    <t>angle °</t>
  </si>
  <si>
    <t>V0 m/s</t>
  </si>
  <si>
    <t>H  m</t>
  </si>
  <si>
    <t>matrice C</t>
  </si>
  <si>
    <t>Ca=Y</t>
  </si>
  <si>
    <t>Ct</t>
  </si>
  <si>
    <t>Ct*y</t>
  </si>
  <si>
    <t>Ct*C</t>
  </si>
  <si>
    <t>a=invers(Ct*C)*Ct*y</t>
  </si>
  <si>
    <t>inverse(Ct*C)</t>
  </si>
  <si>
    <t>min</t>
  </si>
  <si>
    <t>max</t>
  </si>
  <si>
    <t>1er facteur</t>
  </si>
  <si>
    <t>2èmefacteur</t>
  </si>
  <si>
    <t>y6</t>
  </si>
  <si>
    <t>y5</t>
  </si>
  <si>
    <t>Matrice C</t>
  </si>
  <si>
    <t>a11</t>
  </si>
  <si>
    <t>a22</t>
  </si>
  <si>
    <t>x1*x2</t>
  </si>
  <si>
    <t>x1*x1</t>
  </si>
  <si>
    <t>x2*x2</t>
  </si>
  <si>
    <t>Ca=y</t>
  </si>
  <si>
    <t>Ct*Y</t>
  </si>
  <si>
    <t>Inverse(Ct*C)</t>
  </si>
  <si>
    <t>y9</t>
  </si>
  <si>
    <t>y8</t>
  </si>
  <si>
    <t>y7</t>
  </si>
  <si>
    <t>a=inverse(Ct*C)*Ct*Y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</si>
</sst>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</borders>
  <cellStyleXfs count="10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2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</cellStyleXfs>
  <cellXfs count="26">
    <xf numFmtId="0" fontId="0" fillId="0" borderId="0" xfId="0"/>
    <xf numFmtId="11" fontId="0" fillId="0" borderId="0" xfId="0" applyNumberFormat="1"/>
    <xf numFmtId="11" fontId="0" fillId="0" borderId="0" xfId="0" applyNumberFormat="1" applyAlignment="1">
      <alignment wrapText="1"/>
    </xf>
    <xf numFmtId="0" fontId="1" fillId="8" borderId="0" xfId="7"/>
    <xf numFmtId="0" fontId="1" fillId="4" borderId="0" xfId="3"/>
    <xf numFmtId="0" fontId="1" fillId="10" borderId="0" xfId="9"/>
    <xf numFmtId="0" fontId="1" fillId="6" borderId="0" xfId="5"/>
    <xf numFmtId="0" fontId="1" fillId="7" borderId="0" xfId="6" applyNumberFormat="1"/>
    <xf numFmtId="0" fontId="1" fillId="8" borderId="0" xfId="7" applyNumberFormat="1"/>
    <xf numFmtId="0" fontId="1" fillId="7" borderId="0" xfId="6"/>
    <xf numFmtId="0" fontId="1" fillId="3" borderId="0" xfId="2" applyNumberFormat="1"/>
    <xf numFmtId="0" fontId="1" fillId="10" borderId="0" xfId="9" applyNumberFormat="1"/>
    <xf numFmtId="0" fontId="1" fillId="2" borderId="0" xfId="1" applyNumberFormat="1"/>
    <xf numFmtId="0" fontId="1" fillId="9" borderId="0" xfId="8"/>
    <xf numFmtId="0" fontId="2" fillId="5" borderId="1" xfId="4" applyBorder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0" borderId="0" xfId="0" applyFill="1"/>
    <xf numFmtId="0" fontId="0" fillId="0" borderId="0" xfId="0" applyFill="1" applyBorder="1"/>
    <xf numFmtId="0" fontId="0" fillId="13" borderId="0" xfId="0" applyFill="1" applyBorder="1"/>
    <xf numFmtId="0" fontId="0" fillId="14" borderId="0" xfId="0" applyFill="1" applyBorder="1"/>
    <xf numFmtId="0" fontId="0" fillId="0" borderId="2" xfId="0" applyFill="1" applyBorder="1"/>
    <xf numFmtId="0" fontId="0" fillId="15" borderId="0" xfId="0" applyFill="1" applyBorder="1"/>
    <xf numFmtId="0" fontId="0" fillId="16" borderId="0" xfId="0" applyFill="1" applyBorder="1"/>
    <xf numFmtId="0" fontId="0" fillId="17" borderId="0" xfId="0" applyFill="1" applyBorder="1"/>
  </cellXfs>
  <cellStyles count="10">
    <cellStyle name="40 % - Accent2" xfId="2" builtinId="35"/>
    <cellStyle name="40 % - Accent4" xfId="6" builtinId="43"/>
    <cellStyle name="40 % - Accent6" xfId="8" builtinId="51"/>
    <cellStyle name="60 % - Accent1" xfId="1" builtinId="32"/>
    <cellStyle name="60 % - Accent2" xfId="3" builtinId="36"/>
    <cellStyle name="60 % - Accent3" xfId="5" builtinId="40"/>
    <cellStyle name="60 % - Accent5" xfId="7" builtinId="48"/>
    <cellStyle name="60 % - Accent6" xfId="9" builtinId="52"/>
    <cellStyle name="Accent3" xfId="4" builtinId="3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openxmlformats.org/officeDocument/2006/relationships/sheetMetadata" Target="metadata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Feuil2!$S$49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Feuil2!$T$48:$X$48</c:f>
              <c:numCache>
                <c:formatCode>General</c:formatCode>
                <c:ptCount val="5"/>
              </c:numCache>
            </c:numRef>
          </c:cat>
          <c:val>
            <c:numRef>
              <c:f>Feuil2!$T$49:$X$49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0A6C-4879-8D4A-03C181E4B0A8}"/>
            </c:ext>
          </c:extLst>
        </c:ser>
        <c:ser>
          <c:idx val="1"/>
          <c:order val="1"/>
          <c:tx>
            <c:strRef>
              <c:f>Feuil2!$S$50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Feuil2!$T$48:$X$48</c:f>
              <c:numCache>
                <c:formatCode>General</c:formatCode>
                <c:ptCount val="5"/>
              </c:numCache>
            </c:numRef>
          </c:cat>
          <c:val>
            <c:numRef>
              <c:f>Feuil2!$T$50:$X$50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1-0A6C-4879-8D4A-03C181E4B0A8}"/>
            </c:ext>
          </c:extLst>
        </c:ser>
        <c:ser>
          <c:idx val="2"/>
          <c:order val="2"/>
          <c:tx>
            <c:strRef>
              <c:f>Feuil2!$S$51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Feuil2!$T$48:$X$48</c:f>
              <c:numCache>
                <c:formatCode>General</c:formatCode>
                <c:ptCount val="5"/>
              </c:numCache>
            </c:numRef>
          </c:cat>
          <c:val>
            <c:numRef>
              <c:f>Feuil2!$T$51:$X$51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2-0A6C-4879-8D4A-03C181E4B0A8}"/>
            </c:ext>
          </c:extLst>
        </c:ser>
        <c:ser>
          <c:idx val="3"/>
          <c:order val="3"/>
          <c:tx>
            <c:strRef>
              <c:f>Feuil2!$S$52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Feuil2!$T$48:$X$48</c:f>
              <c:numCache>
                <c:formatCode>General</c:formatCode>
                <c:ptCount val="5"/>
              </c:numCache>
            </c:numRef>
          </c:cat>
          <c:val>
            <c:numRef>
              <c:f>Feuil2!$T$52:$X$52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3-0A6C-4879-8D4A-03C181E4B0A8}"/>
            </c:ext>
          </c:extLst>
        </c:ser>
        <c:ser>
          <c:idx val="4"/>
          <c:order val="4"/>
          <c:tx>
            <c:strRef>
              <c:f>Feuil2!$S$53</c:f>
              <c:strCache>
                <c:ptCount val="1"/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Feuil2!$T$48:$X$48</c:f>
              <c:numCache>
                <c:formatCode>General</c:formatCode>
                <c:ptCount val="5"/>
              </c:numCache>
            </c:numRef>
          </c:cat>
          <c:val>
            <c:numRef>
              <c:f>Feuil2!$T$53:$X$53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4-0A6C-4879-8D4A-03C181E4B0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830351"/>
        <c:axId val="202829871"/>
      </c:barChart>
      <c:catAx>
        <c:axId val="202830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2829871"/>
        <c:crosses val="autoZero"/>
        <c:auto val="1"/>
        <c:lblAlgn val="ctr"/>
        <c:lblOffset val="100"/>
        <c:noMultiLvlLbl val="0"/>
      </c:catAx>
      <c:valAx>
        <c:axId val="202829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2830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F8221B1-06FF-4124-B450-BEBFEBE6EC86}">
  <sheetPr/>
  <sheetViews>
    <sheetView zoomScale="11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7051" cy="6073205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ADE88D16-7E22-7A87-F207-2F796788CF2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2"/>
  <sheetViews>
    <sheetView topLeftCell="A16" zoomScale="70" zoomScaleNormal="70" workbookViewId="0">
      <selection activeCell="H46" sqref="H46"/>
    </sheetView>
  </sheetViews>
  <sheetFormatPr baseColWidth="10" defaultRowHeight="15" x14ac:dyDescent="0.25"/>
  <sheetData>
    <row r="1" spans="1:33" x14ac:dyDescent="0.25">
      <c r="A1" cm="1">
        <f t="array" aca="1" ref="A1" ca="1">A1:O53</f>
        <v>0</v>
      </c>
    </row>
    <row r="6" spans="1:33" x14ac:dyDescent="0.25">
      <c r="E6" s="3" t="s">
        <v>14</v>
      </c>
      <c r="H6" s="3" t="s">
        <v>15</v>
      </c>
      <c r="K6" s="3" t="s">
        <v>16</v>
      </c>
      <c r="N6" s="3" t="s">
        <v>17</v>
      </c>
    </row>
    <row r="7" spans="1:33" x14ac:dyDescent="0.25">
      <c r="A7" s="4" t="s">
        <v>5</v>
      </c>
      <c r="B7" s="4" t="s">
        <v>2</v>
      </c>
      <c r="C7" s="4" t="s">
        <v>19</v>
      </c>
      <c r="D7" s="4">
        <v>30</v>
      </c>
      <c r="E7" s="3">
        <v>1.82</v>
      </c>
      <c r="G7" s="4">
        <v>30</v>
      </c>
      <c r="H7" s="3">
        <v>4.1900000000000004</v>
      </c>
      <c r="J7" s="4">
        <v>50</v>
      </c>
      <c r="K7" s="3">
        <v>1.83</v>
      </c>
      <c r="M7" s="4">
        <v>50</v>
      </c>
      <c r="N7" s="3">
        <v>4.4800000000000004</v>
      </c>
    </row>
    <row r="8" spans="1:33" x14ac:dyDescent="0.25">
      <c r="A8" s="5" t="s">
        <v>7</v>
      </c>
      <c r="B8" s="5" t="s">
        <v>3</v>
      </c>
      <c r="C8" s="5" t="s">
        <v>20</v>
      </c>
      <c r="D8" s="5">
        <v>4</v>
      </c>
      <c r="E8" s="3"/>
      <c r="G8" s="5">
        <v>6.5</v>
      </c>
      <c r="H8" s="3"/>
      <c r="J8" s="5">
        <v>4</v>
      </c>
      <c r="K8" s="3"/>
      <c r="M8" s="5">
        <v>6.5</v>
      </c>
      <c r="N8" s="3"/>
      <c r="X8" s="3" t="s">
        <v>14</v>
      </c>
      <c r="AA8" s="3" t="s">
        <v>15</v>
      </c>
      <c r="AD8" s="3" t="s">
        <v>16</v>
      </c>
      <c r="AG8" s="3" t="s">
        <v>17</v>
      </c>
    </row>
    <row r="9" spans="1:33" x14ac:dyDescent="0.25">
      <c r="A9" s="6" t="s">
        <v>6</v>
      </c>
      <c r="B9" s="6" t="s">
        <v>4</v>
      </c>
      <c r="C9" s="6" t="s">
        <v>21</v>
      </c>
      <c r="D9" s="6">
        <v>0.3</v>
      </c>
      <c r="E9" s="3"/>
      <c r="G9" s="6">
        <v>0.3</v>
      </c>
      <c r="H9" s="3"/>
      <c r="J9" s="6">
        <v>0.3</v>
      </c>
      <c r="K9" s="3"/>
      <c r="M9" s="6">
        <v>0.3</v>
      </c>
      <c r="N9" s="3"/>
      <c r="T9" s="4" t="s">
        <v>5</v>
      </c>
      <c r="U9" s="4" t="s">
        <v>2</v>
      </c>
      <c r="V9" s="4" t="s">
        <v>19</v>
      </c>
      <c r="W9" s="4">
        <v>30</v>
      </c>
      <c r="X9" s="3">
        <v>1.41</v>
      </c>
      <c r="Z9" s="4">
        <v>30</v>
      </c>
      <c r="AA9" s="3">
        <v>3.72</v>
      </c>
      <c r="AC9" s="4">
        <v>50</v>
      </c>
      <c r="AD9" s="3">
        <v>1.61</v>
      </c>
      <c r="AF9" s="4">
        <v>50</v>
      </c>
      <c r="AG9" s="3">
        <v>4.24</v>
      </c>
    </row>
    <row r="10" spans="1:33" x14ac:dyDescent="0.25">
      <c r="T10" s="5" t="s">
        <v>7</v>
      </c>
      <c r="U10" s="5" t="s">
        <v>3</v>
      </c>
      <c r="V10" s="5" t="s">
        <v>20</v>
      </c>
      <c r="W10" s="5">
        <v>4</v>
      </c>
      <c r="X10" s="3"/>
      <c r="Z10" s="5">
        <v>6.5</v>
      </c>
      <c r="AA10" s="3"/>
      <c r="AC10" s="5">
        <v>4</v>
      </c>
      <c r="AD10" s="3"/>
      <c r="AF10" s="5">
        <v>6.5</v>
      </c>
      <c r="AG10" s="3"/>
    </row>
    <row r="11" spans="1:33" x14ac:dyDescent="0.25">
      <c r="T11" s="6" t="s">
        <v>6</v>
      </c>
      <c r="U11" s="6" t="s">
        <v>4</v>
      </c>
      <c r="V11" s="6" t="s">
        <v>21</v>
      </c>
      <c r="W11" s="6">
        <v>0</v>
      </c>
      <c r="X11" s="3"/>
      <c r="Z11" s="6">
        <v>0</v>
      </c>
      <c r="AA11" s="3"/>
      <c r="AC11" s="6">
        <v>0</v>
      </c>
      <c r="AD11" s="3"/>
      <c r="AF11" s="6">
        <v>0</v>
      </c>
      <c r="AG11" s="3"/>
    </row>
    <row r="12" spans="1:33" x14ac:dyDescent="0.25">
      <c r="B12" s="14"/>
      <c r="C12" s="14" t="s">
        <v>29</v>
      </c>
      <c r="D12" s="14" t="s">
        <v>30</v>
      </c>
    </row>
    <row r="13" spans="1:33" x14ac:dyDescent="0.25">
      <c r="B13" s="14" t="s">
        <v>8</v>
      </c>
      <c r="C13" s="14">
        <f>D7</f>
        <v>30</v>
      </c>
      <c r="D13" s="14">
        <f>J7</f>
        <v>50</v>
      </c>
      <c r="U13" s="14"/>
      <c r="V13" s="14" t="s">
        <v>29</v>
      </c>
      <c r="W13" s="14" t="s">
        <v>30</v>
      </c>
    </row>
    <row r="14" spans="1:33" x14ac:dyDescent="0.25">
      <c r="B14" s="14" t="s">
        <v>10</v>
      </c>
      <c r="C14" s="14">
        <f>D8</f>
        <v>4</v>
      </c>
      <c r="D14" s="14">
        <f>G8</f>
        <v>6.5</v>
      </c>
      <c r="U14" s="14" t="s">
        <v>8</v>
      </c>
      <c r="V14" s="14">
        <f>W9</f>
        <v>30</v>
      </c>
      <c r="W14" s="14">
        <f>AC9</f>
        <v>50</v>
      </c>
    </row>
    <row r="15" spans="1:33" x14ac:dyDescent="0.25">
      <c r="B15" s="14"/>
      <c r="C15" s="14"/>
      <c r="D15" s="14"/>
      <c r="U15" s="14" t="s">
        <v>10</v>
      </c>
      <c r="V15" s="14">
        <f>W10</f>
        <v>4</v>
      </c>
      <c r="W15" s="14">
        <f>Z10</f>
        <v>6.5</v>
      </c>
    </row>
    <row r="16" spans="1:33" x14ac:dyDescent="0.25">
      <c r="U16" s="14"/>
      <c r="V16" s="14"/>
      <c r="W16" s="14"/>
    </row>
    <row r="19" spans="1:28" x14ac:dyDescent="0.25">
      <c r="A19" t="s">
        <v>22</v>
      </c>
      <c r="B19" t="s">
        <v>18</v>
      </c>
      <c r="C19" t="s">
        <v>9</v>
      </c>
      <c r="D19" t="s">
        <v>11</v>
      </c>
      <c r="E19" t="s">
        <v>12</v>
      </c>
    </row>
    <row r="20" spans="1:28" x14ac:dyDescent="0.25">
      <c r="A20" s="1" t="s">
        <v>1</v>
      </c>
      <c r="B20" s="1"/>
      <c r="C20" t="s">
        <v>8</v>
      </c>
      <c r="D20" t="s">
        <v>10</v>
      </c>
      <c r="E20" t="s">
        <v>13</v>
      </c>
      <c r="F20" s="3" t="s">
        <v>0</v>
      </c>
    </row>
    <row r="21" spans="1:28" x14ac:dyDescent="0.25">
      <c r="A21">
        <v>1</v>
      </c>
      <c r="B21" s="7">
        <v>1</v>
      </c>
      <c r="C21" s="7">
        <v>30</v>
      </c>
      <c r="D21" s="7">
        <v>4</v>
      </c>
      <c r="E21" s="7">
        <f>D7*D8</f>
        <v>120</v>
      </c>
      <c r="F21" s="8">
        <f>E7</f>
        <v>1.82</v>
      </c>
      <c r="T21" t="s">
        <v>22</v>
      </c>
      <c r="U21" t="s">
        <v>18</v>
      </c>
      <c r="V21" t="s">
        <v>9</v>
      </c>
      <c r="W21" t="s">
        <v>11</v>
      </c>
      <c r="X21" t="s">
        <v>12</v>
      </c>
    </row>
    <row r="22" spans="1:28" x14ac:dyDescent="0.25">
      <c r="A22">
        <v>2</v>
      </c>
      <c r="B22" s="7">
        <v>1</v>
      </c>
      <c r="C22" s="7">
        <v>30</v>
      </c>
      <c r="D22" s="7">
        <f>G8</f>
        <v>6.5</v>
      </c>
      <c r="E22" s="7">
        <f>G7*G8</f>
        <v>195</v>
      </c>
      <c r="F22" s="8">
        <f>H7</f>
        <v>4.1900000000000004</v>
      </c>
      <c r="T22" s="1" t="s">
        <v>1</v>
      </c>
      <c r="U22" s="1"/>
      <c r="V22" t="s">
        <v>8</v>
      </c>
      <c r="W22" t="s">
        <v>10</v>
      </c>
      <c r="X22" t="s">
        <v>13</v>
      </c>
      <c r="Y22" s="3" t="s">
        <v>0</v>
      </c>
    </row>
    <row r="23" spans="1:28" x14ac:dyDescent="0.25">
      <c r="A23">
        <v>3</v>
      </c>
      <c r="B23" s="7">
        <v>1</v>
      </c>
      <c r="C23" s="7">
        <v>50</v>
      </c>
      <c r="D23" s="7">
        <v>4</v>
      </c>
      <c r="E23" s="7">
        <f>J7*J8</f>
        <v>200</v>
      </c>
      <c r="F23" s="8">
        <f>K7</f>
        <v>1.83</v>
      </c>
      <c r="T23">
        <v>1</v>
      </c>
      <c r="U23" s="7">
        <v>1</v>
      </c>
      <c r="V23" s="7">
        <v>30</v>
      </c>
      <c r="W23" s="7">
        <v>4</v>
      </c>
      <c r="X23" s="7">
        <f>W9*W10</f>
        <v>120</v>
      </c>
      <c r="Y23" s="8">
        <f>X9</f>
        <v>1.41</v>
      </c>
    </row>
    <row r="24" spans="1:28" x14ac:dyDescent="0.25">
      <c r="A24">
        <v>4</v>
      </c>
      <c r="B24" s="7">
        <v>1</v>
      </c>
      <c r="C24" s="7">
        <v>50</v>
      </c>
      <c r="D24" s="7">
        <f>M8</f>
        <v>6.5</v>
      </c>
      <c r="E24" s="7">
        <f>M7*M8</f>
        <v>325</v>
      </c>
      <c r="F24" s="8">
        <f>N7</f>
        <v>4.4800000000000004</v>
      </c>
      <c r="T24">
        <v>2</v>
      </c>
      <c r="U24" s="7">
        <v>1</v>
      </c>
      <c r="V24" s="7">
        <v>30</v>
      </c>
      <c r="W24" s="7">
        <f>Z10</f>
        <v>6.5</v>
      </c>
      <c r="X24" s="7">
        <f>Z9*Z10</f>
        <v>195</v>
      </c>
      <c r="Y24" s="8">
        <f>AA9</f>
        <v>3.72</v>
      </c>
    </row>
    <row r="25" spans="1:28" x14ac:dyDescent="0.25">
      <c r="A25" s="2"/>
      <c r="B25" s="1"/>
      <c r="T25">
        <v>3</v>
      </c>
      <c r="U25" s="7">
        <v>1</v>
      </c>
      <c r="V25" s="7">
        <v>50</v>
      </c>
      <c r="W25" s="7">
        <v>4</v>
      </c>
      <c r="X25" s="7">
        <f>AC9*AC10</f>
        <v>200</v>
      </c>
      <c r="Y25" s="8">
        <f>AD9</f>
        <v>1.61</v>
      </c>
    </row>
    <row r="26" spans="1:28" x14ac:dyDescent="0.25">
      <c r="D26" t="s">
        <v>23</v>
      </c>
      <c r="T26">
        <v>4</v>
      </c>
      <c r="U26" s="7">
        <v>1</v>
      </c>
      <c r="V26" s="7">
        <v>50</v>
      </c>
      <c r="W26" s="7">
        <f>AF10</f>
        <v>6.5</v>
      </c>
      <c r="X26" s="7">
        <f>AF9*AF10</f>
        <v>325</v>
      </c>
      <c r="Y26" s="8">
        <f>AG9</f>
        <v>4.24</v>
      </c>
    </row>
    <row r="27" spans="1:28" x14ac:dyDescent="0.25">
      <c r="T27" s="2"/>
      <c r="U27" s="1"/>
    </row>
    <row r="28" spans="1:28" x14ac:dyDescent="0.25">
      <c r="W28" t="s">
        <v>23</v>
      </c>
    </row>
    <row r="29" spans="1:28" x14ac:dyDescent="0.25">
      <c r="A29" t="s">
        <v>24</v>
      </c>
      <c r="I29" t="s">
        <v>25</v>
      </c>
    </row>
    <row r="30" spans="1:28" x14ac:dyDescent="0.25">
      <c r="B30" s="9">
        <v>1</v>
      </c>
      <c r="C30" s="9">
        <v>1</v>
      </c>
      <c r="D30" s="9">
        <v>1</v>
      </c>
      <c r="E30" s="9">
        <v>1</v>
      </c>
      <c r="I30" s="13">
        <f>B30*F21+C30*F22+D30*F23+E30*F24</f>
        <v>12.32</v>
      </c>
    </row>
    <row r="31" spans="1:28" x14ac:dyDescent="0.25">
      <c r="B31" s="9">
        <v>30</v>
      </c>
      <c r="C31" s="9">
        <v>30</v>
      </c>
      <c r="D31" s="9">
        <v>50</v>
      </c>
      <c r="E31" s="9">
        <v>50</v>
      </c>
      <c r="I31" s="13">
        <f>B31*F21+C31*F22+D31*F23+E31*F24</f>
        <v>495.80000000000007</v>
      </c>
      <c r="T31" t="s">
        <v>24</v>
      </c>
      <c r="AB31" t="s">
        <v>25</v>
      </c>
    </row>
    <row r="32" spans="1:28" x14ac:dyDescent="0.25">
      <c r="B32" s="9">
        <f>D8</f>
        <v>4</v>
      </c>
      <c r="C32" s="9">
        <f>G8</f>
        <v>6.5</v>
      </c>
      <c r="D32" s="9">
        <f>J8</f>
        <v>4</v>
      </c>
      <c r="E32" s="9">
        <f>M8</f>
        <v>6.5</v>
      </c>
      <c r="I32" s="13">
        <f>B32*F21+C32*F22+D32*F23+E32*F24</f>
        <v>70.955000000000013</v>
      </c>
      <c r="U32" s="9">
        <v>1</v>
      </c>
      <c r="V32" s="9">
        <v>1</v>
      </c>
      <c r="W32" s="9">
        <v>1</v>
      </c>
      <c r="X32" s="9">
        <v>1</v>
      </c>
      <c r="AB32" s="13">
        <f>U32*Y23+V32*Y24+W32*Y25+X32*Y26</f>
        <v>10.98</v>
      </c>
    </row>
    <row r="33" spans="1:28" x14ac:dyDescent="0.25">
      <c r="B33" s="9">
        <v>120</v>
      </c>
      <c r="C33" s="9">
        <v>240</v>
      </c>
      <c r="D33" s="9">
        <v>200</v>
      </c>
      <c r="E33" s="9">
        <v>400</v>
      </c>
      <c r="I33" s="13">
        <f>B33*F21+C33*F22+D33*F23+E33*F24</f>
        <v>3382.0000000000005</v>
      </c>
      <c r="U33" s="9">
        <v>30</v>
      </c>
      <c r="V33" s="9">
        <v>30</v>
      </c>
      <c r="W33" s="9">
        <v>50</v>
      </c>
      <c r="X33" s="9">
        <v>50</v>
      </c>
      <c r="AB33" s="13">
        <f>U33*Y23+V33*Y24+W33*Y25+X33*Y26</f>
        <v>446.4</v>
      </c>
    </row>
    <row r="34" spans="1:28" x14ac:dyDescent="0.25">
      <c r="U34" s="9">
        <f>W10</f>
        <v>4</v>
      </c>
      <c r="V34" s="9">
        <f>Z10</f>
        <v>6.5</v>
      </c>
      <c r="W34" s="9">
        <f>AC10</f>
        <v>4</v>
      </c>
      <c r="X34" s="9">
        <f>AF10</f>
        <v>6.5</v>
      </c>
      <c r="AB34" s="13">
        <f>U34*Y23+V34*Y24+W34*Y25+X34*Y26</f>
        <v>63.82</v>
      </c>
    </row>
    <row r="35" spans="1:28" x14ac:dyDescent="0.25">
      <c r="U35" s="9">
        <v>120</v>
      </c>
      <c r="V35" s="9">
        <v>240</v>
      </c>
      <c r="W35" s="9">
        <v>200</v>
      </c>
      <c r="X35" s="9">
        <v>400</v>
      </c>
      <c r="AB35" s="13">
        <f>U35*Y23+V35*Y24+W35*Y25+X35*Y26</f>
        <v>3080</v>
      </c>
    </row>
    <row r="39" spans="1:28" x14ac:dyDescent="0.25">
      <c r="A39" t="s">
        <v>26</v>
      </c>
    </row>
    <row r="40" spans="1:28" x14ac:dyDescent="0.25">
      <c r="B40" s="10">
        <f>B30*B21+C30*B22+D30*B23+E30*B24</f>
        <v>4</v>
      </c>
      <c r="C40" s="10">
        <f>B30*C21+C30*C22+D30*C23+E30*C24</f>
        <v>160</v>
      </c>
      <c r="D40" s="10">
        <f>B30*D21+C30*D22+D30*D23+E30*D24</f>
        <v>21</v>
      </c>
      <c r="E40" s="10">
        <f>B30*E21+C30*E22+D30*E23+E30*E24</f>
        <v>840</v>
      </c>
    </row>
    <row r="41" spans="1:28" x14ac:dyDescent="0.25">
      <c r="B41" s="10">
        <f>B31*B21+C31*B22+D31*B23+E31*B24</f>
        <v>160</v>
      </c>
      <c r="C41" s="10">
        <f>B31*C21+C31*C22+D31*C23+E31*C24</f>
        <v>6800</v>
      </c>
      <c r="D41" s="10">
        <f>B31*D21+C31*D22+D31*D23+E31*D24</f>
        <v>840</v>
      </c>
      <c r="E41" s="10">
        <f>B31*E21+C31*E22+D31*E23+E31*E24</f>
        <v>35700</v>
      </c>
      <c r="T41" t="s">
        <v>26</v>
      </c>
    </row>
    <row r="42" spans="1:28" x14ac:dyDescent="0.25">
      <c r="B42" s="10">
        <f>B32*B21+C32*B22+D32*B23+E32*B24</f>
        <v>21</v>
      </c>
      <c r="C42" s="10">
        <f>B32*C21+C32*C22+D32*C23+E32*C24</f>
        <v>840</v>
      </c>
      <c r="D42" s="10">
        <f>B32*D21+C32*D22+D32*D23+E32*D24</f>
        <v>116.5</v>
      </c>
      <c r="E42" s="10">
        <f>B32*E21+C32*E22+D32*E23+E32*E24</f>
        <v>4660</v>
      </c>
      <c r="U42" s="10">
        <f>U32*U23+V32*U24+W32*U25+X32*U26</f>
        <v>4</v>
      </c>
      <c r="V42" s="10">
        <f>U32*V23+V32*V24+W32*V25+X32*V26</f>
        <v>160</v>
      </c>
      <c r="W42" s="10">
        <f>U32*W23+V32*W24+W32*W25+X32*W26</f>
        <v>21</v>
      </c>
      <c r="X42" s="10">
        <f>U32*X23+V32*X24+W32*X25+X32*X26</f>
        <v>840</v>
      </c>
    </row>
    <row r="43" spans="1:28" x14ac:dyDescent="0.25">
      <c r="B43" s="10">
        <f>B33*B21+C33*B22+D33*B23+E33*B24</f>
        <v>960</v>
      </c>
      <c r="C43" s="10">
        <f>B33*C21+C33*C22+D33*C23+E33*C24</f>
        <v>40800</v>
      </c>
      <c r="D43" s="10">
        <f>B33*D21+C33*D22+D33*D23+E33*D24</f>
        <v>5440</v>
      </c>
      <c r="E43" s="10">
        <f>B33*E21+C33*E22+D33*E23+E33*E24</f>
        <v>231200</v>
      </c>
      <c r="U43" s="10">
        <f>U33*U23+V33*U24+W33*U25+X33*U26</f>
        <v>160</v>
      </c>
      <c r="V43" s="10">
        <f>U33*V23+V33*V24+W33*V25+X33*V26</f>
        <v>6800</v>
      </c>
      <c r="W43" s="10">
        <f>U33*W23+V33*W24+W33*W25+X33*W26</f>
        <v>840</v>
      </c>
      <c r="X43" s="10">
        <f>U33*X23+V33*X24+W33*X25+X33*X26</f>
        <v>35700</v>
      </c>
    </row>
    <row r="44" spans="1:28" x14ac:dyDescent="0.25">
      <c r="U44" s="10">
        <f>U34*U23+V34*U24+W34*U25+X34*U26</f>
        <v>21</v>
      </c>
      <c r="V44" s="10">
        <f>U34*V23+V34*V24+W34*V25+X34*V26</f>
        <v>840</v>
      </c>
      <c r="W44" s="10">
        <f>U34*W23+V34*W24+W34*W25+X34*W26</f>
        <v>116.5</v>
      </c>
      <c r="X44" s="10">
        <f>U34*X23+V34*X24+W34*X25+X34*X26</f>
        <v>4660</v>
      </c>
    </row>
    <row r="45" spans="1:28" x14ac:dyDescent="0.25">
      <c r="U45" s="10">
        <f>U35*U23+V35*U24+W35*U25+X35*U26</f>
        <v>960</v>
      </c>
      <c r="V45" s="10">
        <f>U35*V23+V35*V24+W35*V25+X35*V26</f>
        <v>40800</v>
      </c>
      <c r="W45" s="10">
        <f>U35*W23+V35*W24+W35*W25+X35*W26</f>
        <v>5440</v>
      </c>
      <c r="X45" s="10">
        <f>U35*X23+V35*X24+W35*X25+X35*X26</f>
        <v>231200</v>
      </c>
    </row>
    <row r="46" spans="1:28" x14ac:dyDescent="0.25">
      <c r="A46" t="s">
        <v>28</v>
      </c>
      <c r="H46" t="s">
        <v>27</v>
      </c>
    </row>
    <row r="47" spans="1:28" x14ac:dyDescent="0.25">
      <c r="B47" s="11" cm="1">
        <f t="array" ref="B47:E50">MINVERSE($B$40:$E$43)</f>
        <v>79.219999999998436</v>
      </c>
      <c r="C47" s="11">
        <v>-1.3599999999999774</v>
      </c>
      <c r="D47" s="11">
        <v>-14.279999999999701</v>
      </c>
      <c r="E47" s="11">
        <v>0.20999999999999611</v>
      </c>
      <c r="H47" s="12">
        <f>I30*B47+I31*C47+I32*D47+I33*E47</f>
        <v>-1.3150000000001683</v>
      </c>
      <c r="I47" t="s">
        <v>18</v>
      </c>
    </row>
    <row r="48" spans="1:28" x14ac:dyDescent="0.25">
      <c r="B48" s="11">
        <v>-1.8639999999999659</v>
      </c>
      <c r="C48" s="11">
        <v>3.399999999999951E-2</v>
      </c>
      <c r="D48" s="11">
        <v>0.33599999999999336</v>
      </c>
      <c r="E48" s="11">
        <v>-5.2499999999999153E-3</v>
      </c>
      <c r="H48" s="12">
        <f>I30*B48+I31*C48+I32*D48+I33*E48</f>
        <v>-2.1900000000002251E-2</v>
      </c>
      <c r="I48" t="s">
        <v>9</v>
      </c>
      <c r="T48" t="s">
        <v>28</v>
      </c>
      <c r="AA48" t="s">
        <v>27</v>
      </c>
    </row>
    <row r="49" spans="2:28" x14ac:dyDescent="0.25">
      <c r="B49" s="11">
        <v>-14.279999999999685</v>
      </c>
      <c r="C49" s="11">
        <v>0.23999999999999533</v>
      </c>
      <c r="D49" s="11">
        <v>2.7199999999999398</v>
      </c>
      <c r="E49" s="11">
        <v>-3.999999999999921E-2</v>
      </c>
      <c r="H49" s="12">
        <f>I30*B49+I31*C49+I32*D49+I33*E49</f>
        <v>0.77999999999997272</v>
      </c>
      <c r="I49" t="s">
        <v>11</v>
      </c>
      <c r="U49" s="11" cm="1">
        <f t="array" ref="U49:X52">MINVERSE($B$40:$E$43)</f>
        <v>79.219999999998436</v>
      </c>
      <c r="V49" s="11">
        <v>-1.3599999999999774</v>
      </c>
      <c r="W49" s="11">
        <v>-14.279999999999701</v>
      </c>
      <c r="X49" s="11">
        <v>0.20999999999999611</v>
      </c>
      <c r="AA49" s="12">
        <f>AB32*U49+AB33*V49+AB34*W49+AB35*X49</f>
        <v>-1.8179999999999836</v>
      </c>
      <c r="AB49" t="s">
        <v>18</v>
      </c>
    </row>
    <row r="50" spans="2:28" x14ac:dyDescent="0.25">
      <c r="B50" s="11">
        <v>0.33599999999999297</v>
      </c>
      <c r="C50" s="11">
        <v>-5.9999999999998978E-3</v>
      </c>
      <c r="D50" s="11">
        <v>-6.3999999999998655E-2</v>
      </c>
      <c r="E50" s="11">
        <v>9.9999999999998246E-4</v>
      </c>
      <c r="H50" s="12">
        <f>I30*B50+I31*C50+I32*D50+I33*E50</f>
        <v>5.5999999999998273E-3</v>
      </c>
      <c r="I50" t="s">
        <v>12</v>
      </c>
      <c r="U50" s="11">
        <v>-1.8639999999999659</v>
      </c>
      <c r="V50" s="11">
        <v>3.399999999999951E-2</v>
      </c>
      <c r="W50" s="11">
        <v>0.33599999999999336</v>
      </c>
      <c r="X50" s="11">
        <v>-5.2499999999999153E-3</v>
      </c>
      <c r="AA50" s="12">
        <f>AB32*U50+AB33*V50+AB34*W50+AB35*X50</f>
        <v>-1.5600000000006276E-2</v>
      </c>
      <c r="AB50" t="s">
        <v>9</v>
      </c>
    </row>
    <row r="51" spans="2:28" x14ac:dyDescent="0.25">
      <c r="U51" s="11">
        <v>-14.279999999999685</v>
      </c>
      <c r="V51" s="11">
        <v>0.23999999999999533</v>
      </c>
      <c r="W51" s="11">
        <v>2.7199999999999398</v>
      </c>
      <c r="X51" s="11">
        <v>-3.999999999999921E-2</v>
      </c>
      <c r="AA51" s="12">
        <f>AB32*U51+AB33*V51+AB34*W51+AB35*X51</f>
        <v>0.73199999999992826</v>
      </c>
      <c r="AB51" t="s">
        <v>11</v>
      </c>
    </row>
    <row r="52" spans="2:28" x14ac:dyDescent="0.25">
      <c r="U52" s="11">
        <v>0.33599999999999297</v>
      </c>
      <c r="V52" s="11">
        <v>-5.9999999999998978E-3</v>
      </c>
      <c r="W52" s="11">
        <v>-6.3999999999998655E-2</v>
      </c>
      <c r="X52" s="11">
        <v>9.9999999999998246E-4</v>
      </c>
      <c r="AA52" s="12">
        <f>AB32*U52+AB33*V52+AB34*W52+AB35*X52</f>
        <v>6.4000000000006274E-3</v>
      </c>
      <c r="AB52" t="s">
        <v>12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259C5-B56D-4906-9BA3-D87C6A3A93ED}">
  <dimension ref="A4:AD61"/>
  <sheetViews>
    <sheetView tabSelected="1" topLeftCell="A4" zoomScale="85" zoomScaleNormal="85" workbookViewId="0">
      <selection activeCell="S43" sqref="S43"/>
    </sheetView>
  </sheetViews>
  <sheetFormatPr baseColWidth="10" defaultRowHeight="15" x14ac:dyDescent="0.25"/>
  <sheetData>
    <row r="4" spans="1:29" x14ac:dyDescent="0.25">
      <c r="E4" s="3" t="s">
        <v>14</v>
      </c>
      <c r="H4" s="3" t="s">
        <v>15</v>
      </c>
      <c r="K4" s="3" t="s">
        <v>16</v>
      </c>
      <c r="N4" s="3" t="s">
        <v>17</v>
      </c>
      <c r="Q4" s="3" t="s">
        <v>34</v>
      </c>
      <c r="T4" s="3" t="s">
        <v>33</v>
      </c>
      <c r="W4" s="3" t="s">
        <v>46</v>
      </c>
      <c r="Z4" s="3" t="s">
        <v>45</v>
      </c>
      <c r="AC4" s="3" t="s">
        <v>44</v>
      </c>
    </row>
    <row r="5" spans="1:29" x14ac:dyDescent="0.25">
      <c r="A5" s="4" t="s">
        <v>31</v>
      </c>
      <c r="B5" s="4" t="s">
        <v>2</v>
      </c>
      <c r="C5" s="4" t="s">
        <v>19</v>
      </c>
      <c r="D5" s="4">
        <v>10</v>
      </c>
      <c r="E5" s="3">
        <v>2.19</v>
      </c>
      <c r="G5" s="4">
        <v>50</v>
      </c>
      <c r="H5" s="3">
        <v>6.3</v>
      </c>
      <c r="J5" s="4">
        <v>50</v>
      </c>
      <c r="K5" s="3">
        <v>9.85</v>
      </c>
      <c r="M5" s="4">
        <v>10</v>
      </c>
      <c r="N5" s="3">
        <v>3.42</v>
      </c>
      <c r="P5" s="4">
        <v>50</v>
      </c>
      <c r="Q5" s="3">
        <v>7.98</v>
      </c>
      <c r="S5" s="4">
        <v>30</v>
      </c>
      <c r="T5" s="3">
        <v>7.01</v>
      </c>
      <c r="V5" s="4">
        <v>10</v>
      </c>
      <c r="W5" s="3">
        <v>2.77</v>
      </c>
      <c r="Y5" s="4">
        <v>30</v>
      </c>
      <c r="Z5" s="3">
        <v>5.54</v>
      </c>
      <c r="AB5" s="4">
        <v>30</v>
      </c>
      <c r="AC5" s="3">
        <v>8.66</v>
      </c>
    </row>
    <row r="6" spans="1:29" x14ac:dyDescent="0.25">
      <c r="A6" s="5" t="s">
        <v>32</v>
      </c>
      <c r="B6" s="5" t="s">
        <v>3</v>
      </c>
      <c r="C6" s="5" t="s">
        <v>20</v>
      </c>
      <c r="D6" s="5">
        <v>8</v>
      </c>
      <c r="E6" s="3"/>
      <c r="G6" s="5">
        <v>8</v>
      </c>
      <c r="H6" s="3"/>
      <c r="J6" s="5">
        <v>10</v>
      </c>
      <c r="K6" s="3"/>
      <c r="M6" s="5">
        <v>10</v>
      </c>
      <c r="N6" s="3"/>
      <c r="P6" s="5">
        <v>9</v>
      </c>
      <c r="Q6" s="3"/>
      <c r="S6" s="5">
        <v>9</v>
      </c>
      <c r="T6" s="3"/>
      <c r="V6" s="5">
        <v>9</v>
      </c>
      <c r="W6" s="3"/>
      <c r="Y6" s="5">
        <v>8</v>
      </c>
      <c r="Z6" s="3"/>
      <c r="AB6" s="5">
        <v>10</v>
      </c>
      <c r="AC6" s="3"/>
    </row>
    <row r="7" spans="1:29" x14ac:dyDescent="0.25">
      <c r="A7" s="6" t="s">
        <v>6</v>
      </c>
      <c r="B7" s="6" t="s">
        <v>4</v>
      </c>
      <c r="C7" s="6" t="s">
        <v>21</v>
      </c>
      <c r="D7" s="6">
        <v>1</v>
      </c>
      <c r="E7" s="3"/>
      <c r="G7" s="6">
        <f>J7</f>
        <v>1</v>
      </c>
      <c r="H7" s="3"/>
      <c r="J7" s="6">
        <f>D7</f>
        <v>1</v>
      </c>
      <c r="K7" s="3"/>
      <c r="M7" s="6">
        <f>D7</f>
        <v>1</v>
      </c>
      <c r="N7" s="3"/>
      <c r="P7" s="6">
        <f>D7</f>
        <v>1</v>
      </c>
      <c r="Q7" s="3"/>
      <c r="S7" s="6">
        <f>D7</f>
        <v>1</v>
      </c>
      <c r="T7" s="3"/>
      <c r="V7" s="6">
        <f>M7</f>
        <v>1</v>
      </c>
      <c r="W7" s="3"/>
      <c r="Y7" s="6">
        <f>M7</f>
        <v>1</v>
      </c>
      <c r="Z7" s="3"/>
      <c r="AB7" s="6">
        <f>M7</f>
        <v>1</v>
      </c>
      <c r="AC7" s="3"/>
    </row>
    <row r="11" spans="1:29" x14ac:dyDescent="0.25">
      <c r="B11" s="14"/>
      <c r="C11" s="14" t="s">
        <v>29</v>
      </c>
      <c r="D11" s="14" t="s">
        <v>30</v>
      </c>
    </row>
    <row r="12" spans="1:29" x14ac:dyDescent="0.25">
      <c r="B12" s="14" t="s">
        <v>8</v>
      </c>
      <c r="C12" s="14">
        <v>30</v>
      </c>
      <c r="D12" s="14">
        <v>60</v>
      </c>
    </row>
    <row r="13" spans="1:29" x14ac:dyDescent="0.25">
      <c r="B13" s="14" t="s">
        <v>10</v>
      </c>
      <c r="C13" s="14">
        <v>4</v>
      </c>
      <c r="D13" s="14">
        <v>6.5</v>
      </c>
    </row>
    <row r="14" spans="1:29" x14ac:dyDescent="0.25">
      <c r="B14" s="14"/>
      <c r="C14" s="14"/>
      <c r="D14" s="14"/>
    </row>
    <row r="17" spans="4:30" x14ac:dyDescent="0.25"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</row>
    <row r="18" spans="4:30" x14ac:dyDescent="0.25"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</row>
    <row r="19" spans="4:30" x14ac:dyDescent="0.25">
      <c r="D19" t="s">
        <v>35</v>
      </c>
      <c r="E19" s="16" t="s">
        <v>18</v>
      </c>
      <c r="F19" s="16" t="s">
        <v>9</v>
      </c>
      <c r="G19" s="16" t="s">
        <v>11</v>
      </c>
      <c r="H19" s="16" t="s">
        <v>12</v>
      </c>
      <c r="I19" s="16" t="s">
        <v>36</v>
      </c>
      <c r="J19" s="16" t="s">
        <v>37</v>
      </c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</row>
    <row r="20" spans="4:30" x14ac:dyDescent="0.25">
      <c r="D20" t="s">
        <v>1</v>
      </c>
      <c r="E20" s="16"/>
      <c r="F20" s="16" t="s">
        <v>8</v>
      </c>
      <c r="G20" s="16" t="s">
        <v>10</v>
      </c>
      <c r="H20" s="16" t="s">
        <v>38</v>
      </c>
      <c r="I20" s="16" t="s">
        <v>39</v>
      </c>
      <c r="J20" s="16" t="s">
        <v>40</v>
      </c>
      <c r="K20" s="15" t="s">
        <v>0</v>
      </c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</row>
    <row r="21" spans="4:30" x14ac:dyDescent="0.25">
      <c r="D21">
        <v>1</v>
      </c>
      <c r="E21" s="16">
        <v>1</v>
      </c>
      <c r="F21" s="16">
        <f>D5</f>
        <v>10</v>
      </c>
      <c r="G21" s="16">
        <f>D6</f>
        <v>8</v>
      </c>
      <c r="H21" s="16">
        <f>F21*G21</f>
        <v>80</v>
      </c>
      <c r="I21" s="16">
        <f>F21*F21</f>
        <v>100</v>
      </c>
      <c r="J21" s="16">
        <f>G21*G21</f>
        <v>64</v>
      </c>
      <c r="K21" s="15">
        <f>E5</f>
        <v>2.19</v>
      </c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</row>
    <row r="22" spans="4:30" x14ac:dyDescent="0.25">
      <c r="D22">
        <v>2</v>
      </c>
      <c r="E22" s="16">
        <v>1</v>
      </c>
      <c r="F22" s="16">
        <f>G5</f>
        <v>50</v>
      </c>
      <c r="G22" s="16">
        <f>G6</f>
        <v>8</v>
      </c>
      <c r="H22" s="16">
        <f>F22*G22</f>
        <v>400</v>
      </c>
      <c r="I22" s="16">
        <f t="shared" ref="I22:I29" si="0">F22*F22</f>
        <v>2500</v>
      </c>
      <c r="J22" s="16">
        <f t="shared" ref="J22:J29" si="1">G22*G22</f>
        <v>64</v>
      </c>
      <c r="K22" s="15">
        <f>H5</f>
        <v>6.3</v>
      </c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</row>
    <row r="23" spans="4:30" x14ac:dyDescent="0.25">
      <c r="D23">
        <v>3</v>
      </c>
      <c r="E23" s="16">
        <v>1</v>
      </c>
      <c r="F23" s="16">
        <f>J5</f>
        <v>50</v>
      </c>
      <c r="G23" s="16">
        <f>J6</f>
        <v>10</v>
      </c>
      <c r="H23" s="16">
        <f t="shared" ref="H23:H27" si="2">F23*G23</f>
        <v>500</v>
      </c>
      <c r="I23" s="16">
        <f t="shared" si="0"/>
        <v>2500</v>
      </c>
      <c r="J23" s="16">
        <f t="shared" si="1"/>
        <v>100</v>
      </c>
      <c r="K23" s="15">
        <f>K5</f>
        <v>9.85</v>
      </c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</row>
    <row r="24" spans="4:30" x14ac:dyDescent="0.25">
      <c r="D24">
        <v>4</v>
      </c>
      <c r="E24" s="16">
        <v>1</v>
      </c>
      <c r="F24" s="16">
        <f>M5</f>
        <v>10</v>
      </c>
      <c r="G24" s="16">
        <f>M6</f>
        <v>10</v>
      </c>
      <c r="H24" s="16">
        <f t="shared" si="2"/>
        <v>100</v>
      </c>
      <c r="I24" s="16">
        <f t="shared" si="0"/>
        <v>100</v>
      </c>
      <c r="J24" s="16">
        <f t="shared" si="1"/>
        <v>100</v>
      </c>
      <c r="K24" s="15">
        <f>N5</f>
        <v>3.42</v>
      </c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</row>
    <row r="25" spans="4:30" x14ac:dyDescent="0.25">
      <c r="D25">
        <v>5</v>
      </c>
      <c r="E25" s="16">
        <v>1</v>
      </c>
      <c r="F25" s="16">
        <f>P5</f>
        <v>50</v>
      </c>
      <c r="G25" s="16">
        <f>P6</f>
        <v>9</v>
      </c>
      <c r="H25" s="16">
        <f t="shared" si="2"/>
        <v>450</v>
      </c>
      <c r="I25" s="16">
        <f t="shared" si="0"/>
        <v>2500</v>
      </c>
      <c r="J25" s="16">
        <f t="shared" si="1"/>
        <v>81</v>
      </c>
      <c r="K25" s="15">
        <f>Q5</f>
        <v>7.98</v>
      </c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</row>
    <row r="26" spans="4:30" x14ac:dyDescent="0.25">
      <c r="D26">
        <v>6</v>
      </c>
      <c r="E26" s="16">
        <v>1</v>
      </c>
      <c r="F26" s="16">
        <f>S5</f>
        <v>30</v>
      </c>
      <c r="G26" s="16">
        <f>S6</f>
        <v>9</v>
      </c>
      <c r="H26" s="16">
        <f t="shared" si="2"/>
        <v>270</v>
      </c>
      <c r="I26" s="16">
        <f>F26*F26</f>
        <v>900</v>
      </c>
      <c r="J26" s="16">
        <f t="shared" si="1"/>
        <v>81</v>
      </c>
      <c r="K26" s="15">
        <f>T5</f>
        <v>7.01</v>
      </c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</row>
    <row r="27" spans="4:30" x14ac:dyDescent="0.25">
      <c r="D27">
        <v>7</v>
      </c>
      <c r="E27" s="16">
        <v>1</v>
      </c>
      <c r="F27" s="16">
        <f>V5</f>
        <v>10</v>
      </c>
      <c r="G27" s="16">
        <f>V6</f>
        <v>9</v>
      </c>
      <c r="H27" s="16">
        <f t="shared" si="2"/>
        <v>90</v>
      </c>
      <c r="I27" s="16">
        <f t="shared" si="0"/>
        <v>100</v>
      </c>
      <c r="J27" s="16">
        <f t="shared" si="1"/>
        <v>81</v>
      </c>
      <c r="K27" s="15">
        <f>W5</f>
        <v>2.77</v>
      </c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</row>
    <row r="28" spans="4:30" x14ac:dyDescent="0.25">
      <c r="D28">
        <v>8</v>
      </c>
      <c r="E28" s="16">
        <v>1</v>
      </c>
      <c r="F28" s="16">
        <f>Y5</f>
        <v>30</v>
      </c>
      <c r="G28" s="16">
        <f>Y6</f>
        <v>8</v>
      </c>
      <c r="H28" s="16">
        <f>F28*G28</f>
        <v>240</v>
      </c>
      <c r="I28" s="16">
        <f t="shared" si="0"/>
        <v>900</v>
      </c>
      <c r="J28" s="16">
        <f t="shared" si="1"/>
        <v>64</v>
      </c>
      <c r="K28" s="15">
        <f>Z5</f>
        <v>5.54</v>
      </c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</row>
    <row r="29" spans="4:30" x14ac:dyDescent="0.25">
      <c r="D29">
        <v>9</v>
      </c>
      <c r="E29" s="16">
        <v>1</v>
      </c>
      <c r="F29" s="16">
        <f>AB5</f>
        <v>30</v>
      </c>
      <c r="G29" s="16">
        <f>AB6</f>
        <v>10</v>
      </c>
      <c r="H29" s="16">
        <f>F29*G29</f>
        <v>300</v>
      </c>
      <c r="I29" s="16">
        <f t="shared" si="0"/>
        <v>900</v>
      </c>
      <c r="J29" s="16">
        <f t="shared" si="1"/>
        <v>100</v>
      </c>
      <c r="K29" s="15">
        <f>AC5</f>
        <v>8.66</v>
      </c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</row>
    <row r="30" spans="4:30" x14ac:dyDescent="0.25"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</row>
    <row r="31" spans="4:30" x14ac:dyDescent="0.25">
      <c r="H31" t="s">
        <v>41</v>
      </c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</row>
    <row r="32" spans="4:30" x14ac:dyDescent="0.25"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</row>
    <row r="33" spans="3:30" x14ac:dyDescent="0.25">
      <c r="D33" t="s">
        <v>24</v>
      </c>
      <c r="E33" s="17" cm="1">
        <f t="array" ref="E33:M38">TRANSPOSE(E21:J29)</f>
        <v>1</v>
      </c>
      <c r="F33" s="17">
        <v>1</v>
      </c>
      <c r="G33" s="17">
        <v>1</v>
      </c>
      <c r="H33" s="17">
        <v>1</v>
      </c>
      <c r="I33" s="17">
        <v>1</v>
      </c>
      <c r="J33" s="17">
        <v>1</v>
      </c>
      <c r="K33" s="17">
        <v>1</v>
      </c>
      <c r="L33" s="17">
        <v>1</v>
      </c>
      <c r="M33" s="17">
        <v>1</v>
      </c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</row>
    <row r="34" spans="3:30" x14ac:dyDescent="0.25">
      <c r="C34" s="19"/>
      <c r="D34" s="19"/>
      <c r="E34" s="20">
        <v>10</v>
      </c>
      <c r="F34" s="20">
        <v>50</v>
      </c>
      <c r="G34" s="20">
        <v>50</v>
      </c>
      <c r="H34" s="20">
        <v>10</v>
      </c>
      <c r="I34" s="20">
        <v>50</v>
      </c>
      <c r="J34" s="20">
        <v>30</v>
      </c>
      <c r="K34" s="20">
        <v>10</v>
      </c>
      <c r="L34" s="20">
        <v>30</v>
      </c>
      <c r="M34" s="20">
        <v>30</v>
      </c>
      <c r="N34" s="19"/>
      <c r="O34" s="19"/>
      <c r="P34" s="19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</row>
    <row r="35" spans="3:30" x14ac:dyDescent="0.25">
      <c r="C35" s="19"/>
      <c r="D35" s="19"/>
      <c r="E35" s="20">
        <v>8</v>
      </c>
      <c r="F35" s="20">
        <v>8</v>
      </c>
      <c r="G35" s="20">
        <v>10</v>
      </c>
      <c r="H35" s="20">
        <v>10</v>
      </c>
      <c r="I35" s="20">
        <v>9</v>
      </c>
      <c r="J35" s="20">
        <v>9</v>
      </c>
      <c r="K35" s="20">
        <v>9</v>
      </c>
      <c r="L35" s="20">
        <v>8</v>
      </c>
      <c r="M35" s="20">
        <v>10</v>
      </c>
      <c r="N35" s="19"/>
      <c r="O35" s="19"/>
      <c r="P35" s="19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</row>
    <row r="36" spans="3:30" x14ac:dyDescent="0.25">
      <c r="C36" s="19"/>
      <c r="D36" s="19"/>
      <c r="E36" s="20">
        <v>80</v>
      </c>
      <c r="F36" s="20">
        <v>400</v>
      </c>
      <c r="G36" s="20">
        <v>500</v>
      </c>
      <c r="H36" s="20">
        <v>100</v>
      </c>
      <c r="I36" s="20">
        <v>450</v>
      </c>
      <c r="J36" s="20">
        <v>270</v>
      </c>
      <c r="K36" s="20">
        <v>90</v>
      </c>
      <c r="L36" s="20">
        <v>240</v>
      </c>
      <c r="M36" s="20">
        <v>300</v>
      </c>
      <c r="N36" s="19"/>
      <c r="O36" s="19"/>
      <c r="P36" s="19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</row>
    <row r="37" spans="3:30" x14ac:dyDescent="0.25">
      <c r="C37" s="19"/>
      <c r="D37" s="19"/>
      <c r="E37" s="20">
        <v>100</v>
      </c>
      <c r="F37" s="20">
        <v>2500</v>
      </c>
      <c r="G37" s="20">
        <v>2500</v>
      </c>
      <c r="H37" s="20">
        <v>100</v>
      </c>
      <c r="I37" s="20">
        <v>2500</v>
      </c>
      <c r="J37" s="20">
        <v>900</v>
      </c>
      <c r="K37" s="20">
        <v>100</v>
      </c>
      <c r="L37" s="20">
        <v>900</v>
      </c>
      <c r="M37" s="20">
        <v>900</v>
      </c>
      <c r="N37" s="19"/>
      <c r="O37" s="19"/>
      <c r="P37" s="19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</row>
    <row r="38" spans="3:30" x14ac:dyDescent="0.25">
      <c r="C38" s="19"/>
      <c r="D38" s="19"/>
      <c r="E38" s="20">
        <v>64</v>
      </c>
      <c r="F38" s="20">
        <v>64</v>
      </c>
      <c r="G38" s="20">
        <v>100</v>
      </c>
      <c r="H38" s="20">
        <v>100</v>
      </c>
      <c r="I38" s="20">
        <v>81</v>
      </c>
      <c r="J38" s="20">
        <v>81</v>
      </c>
      <c r="K38" s="20">
        <v>81</v>
      </c>
      <c r="L38" s="20">
        <v>64</v>
      </c>
      <c r="M38" s="20">
        <v>100</v>
      </c>
      <c r="N38" s="19"/>
      <c r="O38" s="19"/>
      <c r="P38" s="19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</row>
    <row r="39" spans="3:30" x14ac:dyDescent="0.25"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</row>
    <row r="40" spans="3:30" x14ac:dyDescent="0.25"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</row>
    <row r="41" spans="3:30" x14ac:dyDescent="0.25"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</row>
    <row r="42" spans="3:30" x14ac:dyDescent="0.25"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</row>
    <row r="43" spans="3:30" x14ac:dyDescent="0.25">
      <c r="C43" s="19"/>
      <c r="D43" s="19" t="s">
        <v>26</v>
      </c>
      <c r="E43" s="21" cm="1">
        <f t="array" ref="E43:J48">MMULT(_xlfn.ANCHORARRAY(E33),E21:J29)</f>
        <v>9</v>
      </c>
      <c r="F43" s="21">
        <v>270</v>
      </c>
      <c r="G43" s="21">
        <v>81</v>
      </c>
      <c r="H43" s="21">
        <v>2430</v>
      </c>
      <c r="I43" s="21">
        <v>10500</v>
      </c>
      <c r="J43" s="21">
        <v>735</v>
      </c>
      <c r="K43" s="19"/>
      <c r="L43" s="19"/>
      <c r="M43" s="19" t="s">
        <v>42</v>
      </c>
      <c r="N43" s="23" cm="1">
        <f t="array" ref="N43:N48">MMULT(_xlfn.ANCHORARRAY(E33),K21:K29)</f>
        <v>53.72</v>
      </c>
      <c r="O43" s="19"/>
      <c r="P43" s="19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</row>
    <row r="44" spans="3:30" x14ac:dyDescent="0.25">
      <c r="C44" s="19"/>
      <c r="D44" s="19"/>
      <c r="E44" s="21">
        <v>270</v>
      </c>
      <c r="F44" s="21">
        <v>10500</v>
      </c>
      <c r="G44" s="21">
        <v>2430</v>
      </c>
      <c r="H44" s="21">
        <v>94500</v>
      </c>
      <c r="I44" s="21">
        <v>459000</v>
      </c>
      <c r="J44" s="21">
        <v>22050</v>
      </c>
      <c r="K44" s="19"/>
      <c r="L44" s="19"/>
      <c r="M44" s="19"/>
      <c r="N44" s="23">
        <v>1926.6</v>
      </c>
      <c r="O44" s="19"/>
      <c r="P44" s="19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</row>
    <row r="45" spans="3:30" x14ac:dyDescent="0.25">
      <c r="C45" s="19"/>
      <c r="D45" s="19"/>
      <c r="E45" s="21">
        <v>81</v>
      </c>
      <c r="F45" s="21">
        <v>2430</v>
      </c>
      <c r="G45" s="21">
        <v>735</v>
      </c>
      <c r="H45" s="21">
        <v>22050</v>
      </c>
      <c r="I45" s="21">
        <v>94500</v>
      </c>
      <c r="J45" s="21">
        <v>6723</v>
      </c>
      <c r="K45" s="19"/>
      <c r="L45" s="19"/>
      <c r="M45" s="19"/>
      <c r="N45" s="23">
        <v>491.38</v>
      </c>
      <c r="O45" s="19"/>
      <c r="P45" s="19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</row>
    <row r="46" spans="3:30" x14ac:dyDescent="0.25">
      <c r="C46" s="19"/>
      <c r="D46" s="19"/>
      <c r="E46" s="21">
        <v>2430</v>
      </c>
      <c r="F46" s="21">
        <v>94500</v>
      </c>
      <c r="G46" s="21">
        <v>22050</v>
      </c>
      <c r="H46" s="21">
        <v>857500</v>
      </c>
      <c r="I46" s="21">
        <v>4131000</v>
      </c>
      <c r="J46" s="21">
        <v>201690</v>
      </c>
      <c r="K46" s="19"/>
      <c r="L46" s="19"/>
      <c r="M46" s="19"/>
      <c r="N46" s="23">
        <v>17622.800000000003</v>
      </c>
      <c r="O46" s="19"/>
      <c r="P46" s="19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</row>
    <row r="47" spans="3:30" x14ac:dyDescent="0.25">
      <c r="C47" s="19"/>
      <c r="D47" s="19"/>
      <c r="E47" s="21">
        <v>10500</v>
      </c>
      <c r="F47" s="21">
        <v>459000</v>
      </c>
      <c r="G47" s="21">
        <v>94500</v>
      </c>
      <c r="H47" s="21">
        <v>4131000</v>
      </c>
      <c r="I47" s="21">
        <v>21210000</v>
      </c>
      <c r="J47" s="21">
        <v>857500</v>
      </c>
      <c r="K47" s="19"/>
      <c r="L47" s="19"/>
      <c r="M47" s="19"/>
      <c r="N47" s="23">
        <v>80252</v>
      </c>
      <c r="O47" s="19"/>
      <c r="P47" s="19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</row>
    <row r="48" spans="3:30" x14ac:dyDescent="0.25">
      <c r="C48" s="19"/>
      <c r="D48" s="19"/>
      <c r="E48" s="21">
        <v>735</v>
      </c>
      <c r="F48" s="21">
        <v>22050</v>
      </c>
      <c r="G48" s="21">
        <v>6723</v>
      </c>
      <c r="H48" s="21">
        <v>201690</v>
      </c>
      <c r="I48" s="21">
        <v>857500</v>
      </c>
      <c r="J48" s="21">
        <v>61971</v>
      </c>
      <c r="K48" s="19"/>
      <c r="L48" s="19"/>
      <c r="M48" s="19"/>
      <c r="N48" s="23">
        <v>4529.4799999999996</v>
      </c>
      <c r="O48" s="19"/>
      <c r="P48" s="19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</row>
    <row r="49" spans="3:30" x14ac:dyDescent="0.25"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</row>
    <row r="50" spans="3:30" x14ac:dyDescent="0.25"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</row>
    <row r="51" spans="3:30" x14ac:dyDescent="0.25"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</row>
    <row r="52" spans="3:30" x14ac:dyDescent="0.25"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</row>
    <row r="53" spans="3:30" x14ac:dyDescent="0.25">
      <c r="C53" s="19"/>
      <c r="D53" s="19" t="s">
        <v>43</v>
      </c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</row>
    <row r="54" spans="3:30" x14ac:dyDescent="0.25">
      <c r="C54" s="19"/>
      <c r="D54" s="19"/>
      <c r="E54" s="24" cm="1">
        <f t="array" ref="E54:J59">MINVERSE(_xlfn.ANCHORARRAY(E43))</f>
        <v>3287.5243055399715</v>
      </c>
      <c r="F54" s="24">
        <v>-1.6499999999766028</v>
      </c>
      <c r="G54" s="24">
        <v>-729.56249999659371</v>
      </c>
      <c r="H54" s="24">
        <v>0.16874999999736642</v>
      </c>
      <c r="I54" s="24">
        <v>1.9791666666774585E-3</v>
      </c>
      <c r="J54" s="24">
        <v>40.166666666482172</v>
      </c>
      <c r="K54" s="19"/>
      <c r="L54" s="19"/>
      <c r="M54" s="19" t="s">
        <v>47</v>
      </c>
      <c r="N54" s="19"/>
      <c r="O54" s="19"/>
      <c r="P54" s="19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</row>
    <row r="55" spans="3:30" x14ac:dyDescent="0.25">
      <c r="C55" s="19"/>
      <c r="D55" s="19"/>
      <c r="E55" s="24">
        <v>-1.6499999999999231</v>
      </c>
      <c r="F55" s="24">
        <v>6.2291666666661784E-2</v>
      </c>
      <c r="G55" s="24">
        <v>0.16874999999999968</v>
      </c>
      <c r="H55" s="24">
        <v>-5.6249999999994135E-3</v>
      </c>
      <c r="I55" s="24">
        <v>-1.8750000000000816E-4</v>
      </c>
      <c r="J55" s="24">
        <v>-9.5016046146477306E-16</v>
      </c>
      <c r="K55" s="19"/>
      <c r="L55" s="19"/>
      <c r="M55" s="25" cm="1">
        <f t="array" ref="M55:M60">MMULT(_xlfn.ANCHORARRAY(E54),_xlfn.ANCHORARRAY(N43))</f>
        <v>1.2873611115501262</v>
      </c>
      <c r="N55" s="19" t="s">
        <v>18</v>
      </c>
      <c r="O55" s="19"/>
      <c r="P55" s="19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</row>
    <row r="56" spans="3:30" x14ac:dyDescent="0.25">
      <c r="C56" s="19"/>
      <c r="D56" s="19"/>
      <c r="E56" s="24">
        <v>-729.56249999650811</v>
      </c>
      <c r="F56" s="24">
        <v>0.16874999999477519</v>
      </c>
      <c r="G56" s="24">
        <v>162.72916666590345</v>
      </c>
      <c r="H56" s="24">
        <v>-1.874999999941206E-2</v>
      </c>
      <c r="I56" s="24">
        <v>-2.3822698166037376E-15</v>
      </c>
      <c r="J56" s="24">
        <v>-8.9999999999586588</v>
      </c>
      <c r="K56" s="19"/>
      <c r="L56" s="19"/>
      <c r="M56" s="25">
        <v>0.11799999999991544</v>
      </c>
      <c r="N56" s="19" t="s">
        <v>9</v>
      </c>
      <c r="O56" s="19"/>
      <c r="P56" s="19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</row>
    <row r="57" spans="3:30" x14ac:dyDescent="0.25">
      <c r="C57" s="19"/>
      <c r="D57" s="19"/>
      <c r="E57" s="24">
        <v>0.16874999999998966</v>
      </c>
      <c r="F57" s="24">
        <v>-5.6249999999994603E-3</v>
      </c>
      <c r="G57" s="24">
        <v>-1.8749999999999538E-2</v>
      </c>
      <c r="H57" s="24">
        <v>6.2499999999993637E-4</v>
      </c>
      <c r="I57" s="24">
        <v>7.2822959209507551E-19</v>
      </c>
      <c r="J57" s="24">
        <v>8.08052455357152E-17</v>
      </c>
      <c r="K57" s="19"/>
      <c r="L57" s="19"/>
      <c r="M57" s="25">
        <v>-0.87333333340939134</v>
      </c>
      <c r="N57" s="19" t="s">
        <v>11</v>
      </c>
      <c r="O57" s="19"/>
      <c r="P57" s="19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</row>
    <row r="58" spans="3:30" x14ac:dyDescent="0.25">
      <c r="C58" s="19"/>
      <c r="D58" s="19"/>
      <c r="E58" s="24">
        <v>1.9791666666669023E-3</v>
      </c>
      <c r="F58" s="24">
        <v>-1.8749999999999954E-4</v>
      </c>
      <c r="G58" s="24">
        <v>-5.5634957222080653E-17</v>
      </c>
      <c r="H58" s="24">
        <v>-2.1286502653152067E-19</v>
      </c>
      <c r="I58" s="24">
        <v>3.1250000000000247E-6</v>
      </c>
      <c r="J58" s="24">
        <v>3.4464132792439344E-18</v>
      </c>
      <c r="K58" s="19"/>
      <c r="L58" s="19"/>
      <c r="M58" s="25">
        <v>2.9000000000015801E-2</v>
      </c>
      <c r="N58" s="19" t="s">
        <v>12</v>
      </c>
      <c r="O58" s="19"/>
      <c r="P58" s="19"/>
    </row>
    <row r="59" spans="3:30" x14ac:dyDescent="0.25">
      <c r="C59" s="19"/>
      <c r="D59" s="19"/>
      <c r="E59" s="24">
        <v>40.166666666472686</v>
      </c>
      <c r="F59" s="24">
        <v>2.8930330353420689E-13</v>
      </c>
      <c r="G59" s="24">
        <v>-8.9999999999576001</v>
      </c>
      <c r="H59" s="24">
        <v>-3.2547460097281671E-14</v>
      </c>
      <c r="I59" s="24">
        <v>1.3064636178387234E-16</v>
      </c>
      <c r="J59" s="24">
        <v>0.49999999999770312</v>
      </c>
      <c r="K59" s="19"/>
      <c r="L59" s="19"/>
      <c r="M59" s="25">
        <v>-4.1291666666666161E-3</v>
      </c>
      <c r="N59" s="19" t="s">
        <v>36</v>
      </c>
      <c r="O59" s="19"/>
      <c r="P59" s="19"/>
    </row>
    <row r="60" spans="3:30" x14ac:dyDescent="0.25"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25">
        <v>7.3333333337814111E-2</v>
      </c>
      <c r="N60" s="19" t="s">
        <v>37</v>
      </c>
      <c r="O60" s="19"/>
      <c r="P60" s="19"/>
    </row>
    <row r="61" spans="3:30" x14ac:dyDescent="0.25"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Graphiques</vt:lpstr>
      </vt:variant>
      <vt:variant>
        <vt:i4>1</vt:i4>
      </vt:variant>
    </vt:vector>
  </HeadingPairs>
  <TitlesOfParts>
    <vt:vector size="3" baseType="lpstr">
      <vt:lpstr>Feuil1</vt:lpstr>
      <vt:lpstr>Feuil2</vt:lpstr>
      <vt:lpstr>Graphique1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netpc01</dc:creator>
  <cp:lastModifiedBy>pelvoux3</cp:lastModifiedBy>
  <dcterms:created xsi:type="dcterms:W3CDTF">2026-01-22T14:19:55Z</dcterms:created>
  <dcterms:modified xsi:type="dcterms:W3CDTF">2026-05-20T07:04:21Z</dcterms:modified>
</cp:coreProperties>
</file>